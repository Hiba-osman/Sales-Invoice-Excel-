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README" sheetId="1" r:id="rId1"/>
    <sheet name="Invoice" sheetId="2" r:id="rId2"/>
    <sheet name="Lists" sheetId="3" r:id="rId3"/>
  </sheets>
  <definedNames>
    <definedName name="ProductCodes">Lists!$D$2:$D$16</definedName>
    <definedName name="TaxCodes">Lists!$A$2:$A$4</definedName>
    <definedName name="TaxTable">Lists!$A$2:$B$4</definedName>
  </definedNames>
  <calcPr calcId="144525"/>
</workbook>
</file>

<file path=xl/calcChain.xml><?xml version="1.0" encoding="utf-8"?>
<calcChain xmlns="http://schemas.openxmlformats.org/spreadsheetml/2006/main">
  <c r="I16" i="2" l="1"/>
  <c r="J16" i="2" s="1"/>
  <c r="H16" i="2"/>
  <c r="J15" i="2"/>
  <c r="K15" i="2" s="1"/>
  <c r="I15" i="2"/>
  <c r="H15" i="2"/>
  <c r="H14" i="2"/>
  <c r="H13" i="2"/>
  <c r="I13" i="2" s="1"/>
  <c r="I12" i="2"/>
  <c r="J12" i="2" s="1"/>
  <c r="H12" i="2"/>
  <c r="J11" i="2"/>
  <c r="K11" i="2" s="1"/>
  <c r="I11" i="2"/>
  <c r="H11" i="2"/>
  <c r="H10" i="2"/>
  <c r="H9" i="2"/>
  <c r="I9" i="2" s="1"/>
  <c r="I8" i="2"/>
  <c r="J8" i="2" s="1"/>
  <c r="H8" i="2"/>
  <c r="J7" i="2"/>
  <c r="K7" i="2" s="1"/>
  <c r="I7" i="2"/>
  <c r="H7" i="2"/>
  <c r="H6" i="2"/>
  <c r="H5" i="2"/>
  <c r="I5" i="2" s="1"/>
  <c r="I4" i="2"/>
  <c r="J4" i="2" s="1"/>
  <c r="H4" i="2"/>
  <c r="J3" i="2"/>
  <c r="K3" i="2" s="1"/>
  <c r="I3" i="2"/>
  <c r="H3" i="2"/>
  <c r="H2" i="2"/>
  <c r="K8" i="2" l="1"/>
  <c r="L8" i="2" s="1"/>
  <c r="K12" i="2"/>
  <c r="L12" i="2" s="1"/>
  <c r="K4" i="2"/>
  <c r="L4" i="2" s="1"/>
  <c r="K16" i="2"/>
  <c r="L16" i="2" s="1"/>
  <c r="I2" i="2"/>
  <c r="J2" i="2" s="1"/>
  <c r="L3" i="2"/>
  <c r="J5" i="2"/>
  <c r="I6" i="2"/>
  <c r="J6" i="2" s="1"/>
  <c r="L7" i="2"/>
  <c r="J9" i="2"/>
  <c r="I10" i="2"/>
  <c r="J10" i="2" s="1"/>
  <c r="L11" i="2"/>
  <c r="J13" i="2"/>
  <c r="I14" i="2"/>
  <c r="J14" i="2" s="1"/>
  <c r="L15" i="2"/>
  <c r="K6" i="2" l="1"/>
  <c r="L6" i="2" s="1"/>
  <c r="K10" i="2"/>
  <c r="L10" i="2" s="1"/>
  <c r="K14" i="2"/>
  <c r="L14" i="2" s="1"/>
  <c r="L23" i="2"/>
  <c r="K2" i="2"/>
  <c r="K5" i="2"/>
  <c r="L5" i="2" s="1"/>
  <c r="K9" i="2"/>
  <c r="L9" i="2" s="1"/>
  <c r="K13" i="2"/>
  <c r="L13" i="2" s="1"/>
  <c r="L22" i="2"/>
  <c r="L24" i="2" l="1"/>
  <c r="L2" i="2"/>
  <c r="L20" i="2" l="1"/>
  <c r="L19" i="2"/>
  <c r="L21" i="2"/>
</calcChain>
</file>

<file path=xl/sharedStrings.xml><?xml version="1.0" encoding="utf-8"?>
<sst xmlns="http://schemas.openxmlformats.org/spreadsheetml/2006/main" count="129" uniqueCount="105">
  <si>
    <t>SALES INVOICE CALCULATOR</t>
  </si>
  <si>
    <t>Practice exercise - Excel</t>
  </si>
  <si>
    <t>PURPOSE</t>
  </si>
  <si>
    <t>Calculate line amounts, discounts and tax for a sales invoice, using a</t>
  </si>
  <si>
    <t>VLOOKUP lookup table for tax rates.</t>
  </si>
  <si>
    <t>SHEETS</t>
  </si>
  <si>
    <t>Invoice : 15 line items (rows 2-16) and a summary block (K18:L24).</t>
  </si>
  <si>
    <t>Lists   : tax-code lookup table and the product-code list.</t>
  </si>
  <si>
    <t>README  : this page.</t>
  </si>
  <si>
    <t>CALCULATIONS</t>
  </si>
  <si>
    <t>Gross Amount    = Quantity x Unit Price</t>
  </si>
  <si>
    <t>Discount Amount = Gross Amount x Discount %</t>
  </si>
  <si>
    <t>Taxable Amount  = Gross Amount - Discount Amount</t>
  </si>
  <si>
    <t>GST Amount      = Taxable Amount x VLOOKUP(Tax Code, TaxTable)</t>
  </si>
  <si>
    <t>Invoice Total   = Taxable Amount + GST Amount</t>
  </si>
  <si>
    <t>The GST column uses:</t>
  </si>
  <si>
    <t xml:space="preserve">     =IFERROR(J2*VLOOKUP(G2,TaxTable,2,FALSE),"Check tax code")</t>
  </si>
  <si>
    <t>TaxTable is a named range (Lists!$A$2:$B$4), so the lookup survives rows</t>
  </si>
  <si>
    <t>being inserted or moved.</t>
  </si>
  <si>
    <t>TAX TABLE (on the Lists sheet)</t>
  </si>
  <si>
    <t>GST5 = 5%      GST12 = 12%      GST18 = 18%</t>
  </si>
  <si>
    <t>RESULTS (L19:L24)</t>
  </si>
  <si>
    <t>Grand total                : 164,569.54</t>
  </si>
  <si>
    <t>Average invoice line value : 10,971.30</t>
  </si>
  <si>
    <t>Line count                 : 15</t>
  </si>
  <si>
    <t>Total discount             : 11,649.50</t>
  </si>
  <si>
    <t>Total taxable              : 144,700.50</t>
  </si>
  <si>
    <t>Total GST                  : 19,869.04</t>
  </si>
  <si>
    <t>DATA QUALITY</t>
  </si>
  <si>
    <t>Tax Code     : list from the TaxCodes name</t>
  </si>
  <si>
    <t>Product Code : list from the ProductCodes name</t>
  </si>
  <si>
    <t>Quantity     : whole number greater than 0</t>
  </si>
  <si>
    <t>Unit Price   : decimal greater than or equal to 0</t>
  </si>
  <si>
    <t>Discount %   : decimal between 0 and 1</t>
  </si>
  <si>
    <t>Lookups are wrapped in IFERROR, so an unmatched tax code shows "Check</t>
  </si>
  <si>
    <t>tax code instead of #N/A.</t>
  </si>
  <si>
    <t>PROTECTION</t>
  </si>
  <si>
    <t>Only the input cells (A2:G16) are unlocked. Every calculated column and</t>
  </si>
  <si>
    <t>the summary block are locked, so formulas cannot be overwritten by</t>
  </si>
  <si>
    <t>accident. Formatting remains allowed.</t>
  </si>
  <si>
    <t>SKILLS DEMONSTRATED</t>
  </si>
  <si>
    <t>VLOOKUP against a named lookup table; IFERROR; Data Validation lists;</t>
  </si>
  <si>
    <t>worksheet protection with unlocked inputs; layered calculations;</t>
  </si>
  <si>
    <t>percentage and currency formatting.</t>
  </si>
  <si>
    <t>No.</t>
  </si>
  <si>
    <t>code</t>
  </si>
  <si>
    <t>description</t>
  </si>
  <si>
    <t>quantity</t>
  </si>
  <si>
    <t>unit price</t>
  </si>
  <si>
    <t>discount percentage</t>
  </si>
  <si>
    <t>tax code</t>
  </si>
  <si>
    <t>gross amount</t>
  </si>
  <si>
    <t>discount amount</t>
  </si>
  <si>
    <t>taxable amount</t>
  </si>
  <si>
    <t>GST amount</t>
  </si>
  <si>
    <t>invoice total</t>
  </si>
  <si>
    <t>P001</t>
  </si>
  <si>
    <t>wireless mouse</t>
  </si>
  <si>
    <t>GST12</t>
  </si>
  <si>
    <t>P002</t>
  </si>
  <si>
    <t>keyboard</t>
  </si>
  <si>
    <t>GST18</t>
  </si>
  <si>
    <t>P003</t>
  </si>
  <si>
    <t>USB cable</t>
  </si>
  <si>
    <t>GST5</t>
  </si>
  <si>
    <t>P004</t>
  </si>
  <si>
    <t>monitor 24°</t>
  </si>
  <si>
    <t>P005</t>
  </si>
  <si>
    <t>laptop stand</t>
  </si>
  <si>
    <t>P006</t>
  </si>
  <si>
    <t>external HDD</t>
  </si>
  <si>
    <t>P007</t>
  </si>
  <si>
    <t>HDMI cable</t>
  </si>
  <si>
    <t>P008</t>
  </si>
  <si>
    <t>webcam</t>
  </si>
  <si>
    <t>P009</t>
  </si>
  <si>
    <t>microphone</t>
  </si>
  <si>
    <t>P0010</t>
  </si>
  <si>
    <t>desk lamp</t>
  </si>
  <si>
    <t>P0011</t>
  </si>
  <si>
    <t>surge protector</t>
  </si>
  <si>
    <t>P0012</t>
  </si>
  <si>
    <t>router</t>
  </si>
  <si>
    <t>P0013</t>
  </si>
  <si>
    <t>printer ink</t>
  </si>
  <si>
    <t>P0014</t>
  </si>
  <si>
    <t>paper ream</t>
  </si>
  <si>
    <t>P0015</t>
  </si>
  <si>
    <t>stapler</t>
  </si>
  <si>
    <t>SUMMARY</t>
  </si>
  <si>
    <t>GRAND TOTAL</t>
  </si>
  <si>
    <t>AVERAGE INVOICE LINE VALUE</t>
  </si>
  <si>
    <t>LINE COUNT</t>
  </si>
  <si>
    <t>TOTAL DISCOUNT</t>
  </si>
  <si>
    <t>TOTAL TAXABLE</t>
  </si>
  <si>
    <t>TOTAL GST</t>
  </si>
  <si>
    <t>Tax Code</t>
  </si>
  <si>
    <t>Tax Rate</t>
  </si>
  <si>
    <t>Products</t>
  </si>
  <si>
    <t>P010</t>
  </si>
  <si>
    <t>P011</t>
  </si>
  <si>
    <t>P012</t>
  </si>
  <si>
    <t>P013</t>
  </si>
  <si>
    <t>P014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</si>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</sst>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_ ;_-[$$-409]* \-#,##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onsolas"/>
      <family val="3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/>
    <xf numFmtId="9" fontId="0" fillId="0" borderId="0" xfId="0" applyNumberFormat="1"/>
    <xf numFmtId="164" fontId="0" fillId="0" borderId="0" xfId="0" applyNumberFormat="1" applyAlignment="1">
      <alignment horizontal="center"/>
    </xf>
    <xf numFmtId="0" fontId="3" fillId="0" borderId="0" xfId="0" applyFont="1"/>
    <xf numFmtId="9" fontId="0" fillId="0" borderId="0" xfId="1" applyFont="1"/>
    <xf numFmtId="0" fontId="4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0" borderId="5" xfId="0" applyFont="1" applyBorder="1"/>
    <xf numFmtId="164" fontId="0" fillId="0" borderId="6" xfId="0" applyNumberFormat="1" applyBorder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9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tabSelected="1" zoomScale="48" zoomScaleNormal="48" workbookViewId="0">
      <selection sqref="A1:XFD1"/>
    </sheetView>
  </sheetViews>
  <sheetFormatPr defaultRowHeight="15" x14ac:dyDescent="0.25"/>
  <cols>
    <col min="1" max="1" width="95" style="2" customWidth="1"/>
  </cols>
  <sheetData>
    <row r="1" spans="1:1" ht="15.75" x14ac:dyDescent="0.25">
      <c r="A1" s="14" t="s">
        <v>0</v>
      </c>
    </row>
    <row r="2" spans="1:1" x14ac:dyDescent="0.25">
      <c r="A2" s="15" t="s">
        <v>1</v>
      </c>
    </row>
    <row r="3" spans="1:1" x14ac:dyDescent="0.25">
      <c r="A3" s="15"/>
    </row>
    <row r="4" spans="1:1" x14ac:dyDescent="0.25">
      <c r="A4" s="16" t="s">
        <v>2</v>
      </c>
    </row>
    <row r="5" spans="1:1" x14ac:dyDescent="0.25">
      <c r="A5" s="15" t="s">
        <v>3</v>
      </c>
    </row>
    <row r="6" spans="1:1" x14ac:dyDescent="0.25">
      <c r="A6" s="15" t="s">
        <v>4</v>
      </c>
    </row>
    <row r="7" spans="1:1" x14ac:dyDescent="0.25">
      <c r="A7" s="15"/>
    </row>
    <row r="8" spans="1:1" x14ac:dyDescent="0.25">
      <c r="A8" s="16" t="s">
        <v>5</v>
      </c>
    </row>
    <row r="9" spans="1:1" x14ac:dyDescent="0.25">
      <c r="A9" s="15" t="s">
        <v>6</v>
      </c>
    </row>
    <row r="10" spans="1:1" x14ac:dyDescent="0.25">
      <c r="A10" s="15" t="s">
        <v>7</v>
      </c>
    </row>
    <row r="11" spans="1:1" x14ac:dyDescent="0.25">
      <c r="A11" s="15" t="s">
        <v>8</v>
      </c>
    </row>
    <row r="12" spans="1:1" x14ac:dyDescent="0.25">
      <c r="A12" s="15"/>
    </row>
    <row r="13" spans="1:1" x14ac:dyDescent="0.25">
      <c r="A13" s="16" t="s">
        <v>9</v>
      </c>
    </row>
    <row r="14" spans="1:1" x14ac:dyDescent="0.25">
      <c r="A14" s="15" t="s">
        <v>10</v>
      </c>
    </row>
    <row r="15" spans="1:1" x14ac:dyDescent="0.25">
      <c r="A15" s="15" t="s">
        <v>11</v>
      </c>
    </row>
    <row r="16" spans="1:1" x14ac:dyDescent="0.25">
      <c r="A16" s="15" t="s">
        <v>12</v>
      </c>
    </row>
    <row r="17" spans="1:1" x14ac:dyDescent="0.25">
      <c r="A17" s="15" t="s">
        <v>13</v>
      </c>
    </row>
    <row r="18" spans="1:1" x14ac:dyDescent="0.25">
      <c r="A18" s="15" t="s">
        <v>14</v>
      </c>
    </row>
    <row r="19" spans="1:1" x14ac:dyDescent="0.25">
      <c r="A19" s="15"/>
    </row>
    <row r="20" spans="1:1" x14ac:dyDescent="0.25">
      <c r="A20" s="15" t="s">
        <v>15</v>
      </c>
    </row>
    <row r="21" spans="1:1" x14ac:dyDescent="0.25">
      <c r="A21" s="15" t="s">
        <v>16</v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4" spans="1:1" x14ac:dyDescent="0.25">
      <c r="A24" s="15"/>
    </row>
    <row r="25" spans="1:1" x14ac:dyDescent="0.25">
      <c r="A25" s="16" t="s">
        <v>19</v>
      </c>
    </row>
    <row r="26" spans="1:1" x14ac:dyDescent="0.25">
      <c r="A26" s="15" t="s">
        <v>20</v>
      </c>
    </row>
    <row r="27" spans="1:1" x14ac:dyDescent="0.25">
      <c r="A27" s="15"/>
    </row>
    <row r="28" spans="1:1" x14ac:dyDescent="0.25">
      <c r="A28" s="16" t="s">
        <v>21</v>
      </c>
    </row>
    <row r="29" spans="1:1" x14ac:dyDescent="0.25">
      <c r="A29" s="15" t="s">
        <v>22</v>
      </c>
    </row>
    <row r="30" spans="1:1" x14ac:dyDescent="0.25">
      <c r="A30" s="15" t="s">
        <v>23</v>
      </c>
    </row>
    <row r="31" spans="1:1" x14ac:dyDescent="0.25">
      <c r="A31" s="15" t="s">
        <v>24</v>
      </c>
    </row>
    <row r="32" spans="1:1" x14ac:dyDescent="0.25">
      <c r="A32" s="15" t="s">
        <v>25</v>
      </c>
    </row>
    <row r="33" spans="1:1" x14ac:dyDescent="0.25">
      <c r="A33" s="15" t="s">
        <v>26</v>
      </c>
    </row>
    <row r="34" spans="1:1" x14ac:dyDescent="0.25">
      <c r="A34" s="15" t="s">
        <v>27</v>
      </c>
    </row>
    <row r="35" spans="1:1" x14ac:dyDescent="0.25">
      <c r="A35" s="15"/>
    </row>
    <row r="36" spans="1:1" x14ac:dyDescent="0.25">
      <c r="A36" s="16" t="s">
        <v>28</v>
      </c>
    </row>
    <row r="37" spans="1:1" x14ac:dyDescent="0.25">
      <c r="A37" s="15" t="s">
        <v>29</v>
      </c>
    </row>
    <row r="38" spans="1:1" x14ac:dyDescent="0.25">
      <c r="A38" s="15" t="s">
        <v>30</v>
      </c>
    </row>
    <row r="39" spans="1:1" x14ac:dyDescent="0.25">
      <c r="A39" s="15" t="s">
        <v>31</v>
      </c>
    </row>
    <row r="40" spans="1:1" x14ac:dyDescent="0.25">
      <c r="A40" s="15" t="s">
        <v>32</v>
      </c>
    </row>
    <row r="41" spans="1:1" x14ac:dyDescent="0.25">
      <c r="A41" s="15" t="s">
        <v>33</v>
      </c>
    </row>
    <row r="42" spans="1:1" x14ac:dyDescent="0.25">
      <c r="A42" s="15" t="s">
        <v>34</v>
      </c>
    </row>
    <row r="43" spans="1:1" x14ac:dyDescent="0.25">
      <c r="A43" s="15" t="s">
        <v>35</v>
      </c>
    </row>
    <row r="44" spans="1:1" x14ac:dyDescent="0.25">
      <c r="A44" s="15"/>
    </row>
    <row r="45" spans="1:1" x14ac:dyDescent="0.25">
      <c r="A45" s="16" t="s">
        <v>36</v>
      </c>
    </row>
    <row r="46" spans="1:1" x14ac:dyDescent="0.25">
      <c r="A46" s="15" t="s">
        <v>37</v>
      </c>
    </row>
    <row r="47" spans="1:1" x14ac:dyDescent="0.25">
      <c r="A47" s="15" t="s">
        <v>38</v>
      </c>
    </row>
    <row r="48" spans="1:1" x14ac:dyDescent="0.25">
      <c r="A48" s="15" t="s">
        <v>39</v>
      </c>
    </row>
    <row r="49" spans="1:1" x14ac:dyDescent="0.25">
      <c r="A49" s="15"/>
    </row>
    <row r="50" spans="1:1" x14ac:dyDescent="0.25">
      <c r="A50" s="16" t="s">
        <v>40</v>
      </c>
    </row>
    <row r="51" spans="1:1" x14ac:dyDescent="0.25">
      <c r="A51" s="15" t="s">
        <v>41</v>
      </c>
    </row>
    <row r="52" spans="1:1" x14ac:dyDescent="0.25">
      <c r="A52" s="15" t="s">
        <v>42</v>
      </c>
    </row>
    <row r="53" spans="1:1" x14ac:dyDescent="0.25">
      <c r="A53" s="1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="87" zoomScaleNormal="87" workbookViewId="0">
      <selection activeCell="C5" sqref="C5"/>
    </sheetView>
  </sheetViews>
  <sheetFormatPr defaultRowHeight="15" x14ac:dyDescent="0.25"/>
  <cols>
    <col min="1" max="1" width="8.140625" style="2" bestFit="1" customWidth="1"/>
    <col min="3" max="3" width="15" style="2" bestFit="1" customWidth="1"/>
    <col min="5" max="5" width="9.85546875" style="2" bestFit="1" customWidth="1"/>
    <col min="6" max="6" width="19.5703125" style="2" bestFit="1" customWidth="1"/>
    <col min="7" max="7" width="8.42578125" style="2" bestFit="1" customWidth="1"/>
    <col min="8" max="8" width="12.85546875" style="2" bestFit="1" customWidth="1"/>
    <col min="9" max="9" width="16" style="2" bestFit="1" customWidth="1"/>
    <col min="10" max="10" width="15" style="2" bestFit="1" customWidth="1"/>
    <col min="11" max="11" width="28.140625" style="2" bestFit="1" customWidth="1"/>
    <col min="12" max="12" width="12" style="2" bestFit="1" customWidth="1"/>
  </cols>
  <sheetData>
    <row r="1" spans="1:1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N1" s="1"/>
      <c r="O1" s="1"/>
    </row>
    <row r="2" spans="1:15" x14ac:dyDescent="0.25">
      <c r="A2" s="17">
        <v>1</v>
      </c>
      <c r="B2" s="18" t="s">
        <v>56</v>
      </c>
      <c r="C2" s="18" t="s">
        <v>57</v>
      </c>
      <c r="D2" s="18">
        <v>10</v>
      </c>
      <c r="E2" s="18">
        <v>500</v>
      </c>
      <c r="F2" s="19">
        <v>0.1</v>
      </c>
      <c r="G2" s="17" t="s">
        <v>58</v>
      </c>
      <c r="H2" s="4">
        <f t="shared" ref="H2:H16" si="0">D2*E2</f>
        <v>5000</v>
      </c>
      <c r="I2" s="4">
        <f t="shared" ref="I2:I16" si="1">F2*H2</f>
        <v>500</v>
      </c>
      <c r="J2" s="4">
        <f t="shared" ref="J2:J16" si="2">H2-I2</f>
        <v>4500</v>
      </c>
      <c r="K2" s="4">
        <f t="shared" ref="K2:K16" si="3">IFERROR(J2*VLOOKUP(G2,TaxTable,2,FALSE),"Check tax code")</f>
        <v>540</v>
      </c>
      <c r="L2" s="4">
        <f t="shared" ref="L2:L16" si="4">J2+K2</f>
        <v>5040</v>
      </c>
      <c r="O2" s="3"/>
    </row>
    <row r="3" spans="1:15" x14ac:dyDescent="0.25">
      <c r="A3" s="17">
        <v>2</v>
      </c>
      <c r="B3" s="18" t="s">
        <v>59</v>
      </c>
      <c r="C3" s="18" t="s">
        <v>60</v>
      </c>
      <c r="D3" s="18">
        <v>5</v>
      </c>
      <c r="E3" s="18">
        <v>1200</v>
      </c>
      <c r="F3" s="19">
        <v>0.05</v>
      </c>
      <c r="G3" s="17" t="s">
        <v>61</v>
      </c>
      <c r="H3" s="4">
        <f t="shared" si="0"/>
        <v>6000</v>
      </c>
      <c r="I3" s="4">
        <f t="shared" si="1"/>
        <v>300</v>
      </c>
      <c r="J3" s="4">
        <f t="shared" si="2"/>
        <v>5700</v>
      </c>
      <c r="K3" s="4">
        <f t="shared" si="3"/>
        <v>1026</v>
      </c>
      <c r="L3" s="4">
        <f t="shared" si="4"/>
        <v>6726</v>
      </c>
      <c r="O3" s="3"/>
    </row>
    <row r="4" spans="1:15" x14ac:dyDescent="0.25">
      <c r="A4" s="17">
        <v>3</v>
      </c>
      <c r="B4" s="18" t="s">
        <v>62</v>
      </c>
      <c r="C4" s="18" t="s">
        <v>63</v>
      </c>
      <c r="D4" s="18">
        <v>20</v>
      </c>
      <c r="E4" s="18">
        <v>150</v>
      </c>
      <c r="F4" s="19">
        <v>0</v>
      </c>
      <c r="G4" s="17" t="s">
        <v>64</v>
      </c>
      <c r="H4" s="4">
        <f t="shared" si="0"/>
        <v>3000</v>
      </c>
      <c r="I4" s="4">
        <f t="shared" si="1"/>
        <v>0</v>
      </c>
      <c r="J4" s="4">
        <f t="shared" si="2"/>
        <v>3000</v>
      </c>
      <c r="K4" s="4">
        <f t="shared" si="3"/>
        <v>150</v>
      </c>
      <c r="L4" s="4">
        <f t="shared" si="4"/>
        <v>3150</v>
      </c>
      <c r="O4" s="3"/>
    </row>
    <row r="5" spans="1:15" x14ac:dyDescent="0.25">
      <c r="A5" s="17">
        <v>4</v>
      </c>
      <c r="B5" s="18" t="s">
        <v>65</v>
      </c>
      <c r="C5" s="18" t="s">
        <v>66</v>
      </c>
      <c r="D5" s="18">
        <v>3</v>
      </c>
      <c r="E5" s="18">
        <v>8500</v>
      </c>
      <c r="F5" s="19">
        <v>0.15</v>
      </c>
      <c r="G5" s="17" t="s">
        <v>61</v>
      </c>
      <c r="H5" s="4">
        <f t="shared" si="0"/>
        <v>25500</v>
      </c>
      <c r="I5" s="4">
        <f t="shared" si="1"/>
        <v>3825</v>
      </c>
      <c r="J5" s="4">
        <f t="shared" si="2"/>
        <v>21675</v>
      </c>
      <c r="K5" s="4">
        <f t="shared" si="3"/>
        <v>3901.5</v>
      </c>
      <c r="L5" s="4">
        <f t="shared" si="4"/>
        <v>25576.5</v>
      </c>
    </row>
    <row r="6" spans="1:15" x14ac:dyDescent="0.25">
      <c r="A6" s="17">
        <v>5</v>
      </c>
      <c r="B6" s="18" t="s">
        <v>67</v>
      </c>
      <c r="C6" s="18" t="s">
        <v>68</v>
      </c>
      <c r="D6" s="18">
        <v>8</v>
      </c>
      <c r="E6" s="18">
        <v>950</v>
      </c>
      <c r="F6" s="19">
        <v>0.1</v>
      </c>
      <c r="G6" s="17" t="s">
        <v>58</v>
      </c>
      <c r="H6" s="4">
        <f t="shared" si="0"/>
        <v>7600</v>
      </c>
      <c r="I6" s="4">
        <f t="shared" si="1"/>
        <v>760</v>
      </c>
      <c r="J6" s="4">
        <f t="shared" si="2"/>
        <v>6840</v>
      </c>
      <c r="K6" s="4">
        <f t="shared" si="3"/>
        <v>820.8</v>
      </c>
      <c r="L6" s="4">
        <f t="shared" si="4"/>
        <v>7660.8</v>
      </c>
    </row>
    <row r="7" spans="1:15" x14ac:dyDescent="0.25">
      <c r="A7" s="17">
        <v>6</v>
      </c>
      <c r="B7" s="18" t="s">
        <v>69</v>
      </c>
      <c r="C7" s="18" t="s">
        <v>70</v>
      </c>
      <c r="D7" s="18">
        <v>4</v>
      </c>
      <c r="E7" s="18">
        <v>4500</v>
      </c>
      <c r="F7" s="19">
        <v>0.05</v>
      </c>
      <c r="G7" s="17" t="s">
        <v>61</v>
      </c>
      <c r="H7" s="4">
        <f t="shared" si="0"/>
        <v>18000</v>
      </c>
      <c r="I7" s="4">
        <f t="shared" si="1"/>
        <v>900</v>
      </c>
      <c r="J7" s="4">
        <f t="shared" si="2"/>
        <v>17100</v>
      </c>
      <c r="K7" s="4">
        <f t="shared" si="3"/>
        <v>3078</v>
      </c>
      <c r="L7" s="4">
        <f t="shared" si="4"/>
        <v>20178</v>
      </c>
    </row>
    <row r="8" spans="1:15" x14ac:dyDescent="0.25">
      <c r="A8" s="17">
        <v>7</v>
      </c>
      <c r="B8" s="18" t="s">
        <v>71</v>
      </c>
      <c r="C8" s="18" t="s">
        <v>72</v>
      </c>
      <c r="D8" s="18">
        <v>15</v>
      </c>
      <c r="E8" s="18">
        <v>300</v>
      </c>
      <c r="F8" s="19">
        <v>0</v>
      </c>
      <c r="G8" s="17" t="s">
        <v>64</v>
      </c>
      <c r="H8" s="4">
        <f t="shared" si="0"/>
        <v>4500</v>
      </c>
      <c r="I8" s="4">
        <f t="shared" si="1"/>
        <v>0</v>
      </c>
      <c r="J8" s="4">
        <f t="shared" si="2"/>
        <v>4500</v>
      </c>
      <c r="K8" s="4">
        <f t="shared" si="3"/>
        <v>225</v>
      </c>
      <c r="L8" s="4">
        <f t="shared" si="4"/>
        <v>4725</v>
      </c>
    </row>
    <row r="9" spans="1:15" x14ac:dyDescent="0.25">
      <c r="A9" s="17">
        <v>8</v>
      </c>
      <c r="B9" s="18" t="s">
        <v>73</v>
      </c>
      <c r="C9" s="18" t="s">
        <v>74</v>
      </c>
      <c r="D9" s="18">
        <v>6</v>
      </c>
      <c r="E9" s="18">
        <v>2500</v>
      </c>
      <c r="F9" s="19">
        <v>0.1</v>
      </c>
      <c r="G9" s="17" t="s">
        <v>58</v>
      </c>
      <c r="H9" s="4">
        <f t="shared" si="0"/>
        <v>15000</v>
      </c>
      <c r="I9" s="4">
        <f t="shared" si="1"/>
        <v>1500</v>
      </c>
      <c r="J9" s="4">
        <f t="shared" si="2"/>
        <v>13500</v>
      </c>
      <c r="K9" s="4">
        <f t="shared" si="3"/>
        <v>1620</v>
      </c>
      <c r="L9" s="4">
        <f t="shared" si="4"/>
        <v>15120</v>
      </c>
    </row>
    <row r="10" spans="1:15" x14ac:dyDescent="0.25">
      <c r="A10" s="17">
        <v>9</v>
      </c>
      <c r="B10" s="18" t="s">
        <v>75</v>
      </c>
      <c r="C10" s="18" t="s">
        <v>76</v>
      </c>
      <c r="D10" s="18">
        <v>7</v>
      </c>
      <c r="E10" s="18">
        <v>3200</v>
      </c>
      <c r="F10" s="19">
        <v>0.08</v>
      </c>
      <c r="G10" s="17" t="s">
        <v>61</v>
      </c>
      <c r="H10" s="4">
        <f t="shared" si="0"/>
        <v>22400</v>
      </c>
      <c r="I10" s="4">
        <f t="shared" si="1"/>
        <v>1792</v>
      </c>
      <c r="J10" s="4">
        <f t="shared" si="2"/>
        <v>20608</v>
      </c>
      <c r="K10" s="4">
        <f t="shared" si="3"/>
        <v>3709.44</v>
      </c>
      <c r="L10" s="4">
        <f t="shared" si="4"/>
        <v>24317.439999999999</v>
      </c>
    </row>
    <row r="11" spans="1:15" x14ac:dyDescent="0.25">
      <c r="A11" s="17">
        <v>10</v>
      </c>
      <c r="B11" s="18" t="s">
        <v>77</v>
      </c>
      <c r="C11" s="18" t="s">
        <v>78</v>
      </c>
      <c r="D11" s="18">
        <v>12</v>
      </c>
      <c r="E11" s="18">
        <v>850</v>
      </c>
      <c r="F11" s="19">
        <v>0.05</v>
      </c>
      <c r="G11" s="17" t="s">
        <v>58</v>
      </c>
      <c r="H11" s="4">
        <f t="shared" si="0"/>
        <v>10200</v>
      </c>
      <c r="I11" s="4">
        <f t="shared" si="1"/>
        <v>510</v>
      </c>
      <c r="J11" s="4">
        <f t="shared" si="2"/>
        <v>9690</v>
      </c>
      <c r="K11" s="4">
        <f t="shared" si="3"/>
        <v>1162.8</v>
      </c>
      <c r="L11" s="4">
        <f t="shared" si="4"/>
        <v>10852.8</v>
      </c>
    </row>
    <row r="12" spans="1:15" x14ac:dyDescent="0.25">
      <c r="A12" s="17">
        <v>11</v>
      </c>
      <c r="B12" s="18" t="s">
        <v>79</v>
      </c>
      <c r="C12" s="18" t="s">
        <v>80</v>
      </c>
      <c r="D12" s="18">
        <v>9</v>
      </c>
      <c r="E12" s="18">
        <v>600</v>
      </c>
      <c r="F12" s="19">
        <v>0</v>
      </c>
      <c r="G12" s="17" t="s">
        <v>64</v>
      </c>
      <c r="H12" s="4">
        <f t="shared" si="0"/>
        <v>5400</v>
      </c>
      <c r="I12" s="4">
        <f t="shared" si="1"/>
        <v>0</v>
      </c>
      <c r="J12" s="4">
        <f t="shared" si="2"/>
        <v>5400</v>
      </c>
      <c r="K12" s="4">
        <f t="shared" si="3"/>
        <v>270</v>
      </c>
      <c r="L12" s="4">
        <f t="shared" si="4"/>
        <v>5670</v>
      </c>
    </row>
    <row r="13" spans="1:15" x14ac:dyDescent="0.25">
      <c r="A13" s="17">
        <v>12</v>
      </c>
      <c r="B13" s="18" t="s">
        <v>81</v>
      </c>
      <c r="C13" s="18" t="s">
        <v>82</v>
      </c>
      <c r="D13" s="18">
        <v>2</v>
      </c>
      <c r="E13" s="18">
        <v>3500</v>
      </c>
      <c r="F13" s="19">
        <v>0.1</v>
      </c>
      <c r="G13" s="17" t="s">
        <v>61</v>
      </c>
      <c r="H13" s="4">
        <f t="shared" si="0"/>
        <v>7000</v>
      </c>
      <c r="I13" s="4">
        <f t="shared" si="1"/>
        <v>700</v>
      </c>
      <c r="J13" s="4">
        <f t="shared" si="2"/>
        <v>6300</v>
      </c>
      <c r="K13" s="4">
        <f t="shared" si="3"/>
        <v>1134</v>
      </c>
      <c r="L13" s="4">
        <f t="shared" si="4"/>
        <v>7434</v>
      </c>
    </row>
    <row r="14" spans="1:15" x14ac:dyDescent="0.25">
      <c r="A14" s="17">
        <v>13</v>
      </c>
      <c r="B14" s="18" t="s">
        <v>83</v>
      </c>
      <c r="C14" s="18" t="s">
        <v>84</v>
      </c>
      <c r="D14" s="18">
        <v>25</v>
      </c>
      <c r="E14" s="18">
        <v>450</v>
      </c>
      <c r="F14" s="19">
        <v>0.05</v>
      </c>
      <c r="G14" s="17" t="s">
        <v>58</v>
      </c>
      <c r="H14" s="4">
        <f t="shared" si="0"/>
        <v>11250</v>
      </c>
      <c r="I14" s="4">
        <f t="shared" si="1"/>
        <v>562.5</v>
      </c>
      <c r="J14" s="4">
        <f t="shared" si="2"/>
        <v>10687.5</v>
      </c>
      <c r="K14" s="4">
        <f t="shared" si="3"/>
        <v>1282.5</v>
      </c>
      <c r="L14" s="4">
        <f t="shared" si="4"/>
        <v>11970</v>
      </c>
    </row>
    <row r="15" spans="1:15" x14ac:dyDescent="0.25">
      <c r="A15" s="17">
        <v>14</v>
      </c>
      <c r="B15" s="18" t="s">
        <v>85</v>
      </c>
      <c r="C15" s="18" t="s">
        <v>86</v>
      </c>
      <c r="D15" s="18">
        <v>50</v>
      </c>
      <c r="E15" s="18">
        <v>250</v>
      </c>
      <c r="F15" s="19">
        <v>0</v>
      </c>
      <c r="G15" s="17" t="s">
        <v>64</v>
      </c>
      <c r="H15" s="4">
        <f t="shared" si="0"/>
        <v>12500</v>
      </c>
      <c r="I15" s="4">
        <f t="shared" si="1"/>
        <v>0</v>
      </c>
      <c r="J15" s="4">
        <f t="shared" si="2"/>
        <v>12500</v>
      </c>
      <c r="K15" s="4">
        <f t="shared" si="3"/>
        <v>625</v>
      </c>
      <c r="L15" s="4">
        <f t="shared" si="4"/>
        <v>13125</v>
      </c>
    </row>
    <row r="16" spans="1:15" x14ac:dyDescent="0.25">
      <c r="A16" s="17">
        <v>15</v>
      </c>
      <c r="B16" s="18" t="s">
        <v>87</v>
      </c>
      <c r="C16" s="18" t="s">
        <v>88</v>
      </c>
      <c r="D16" s="18">
        <v>15</v>
      </c>
      <c r="E16" s="18">
        <v>200</v>
      </c>
      <c r="F16" s="19">
        <v>0.1</v>
      </c>
      <c r="G16" s="17" t="s">
        <v>58</v>
      </c>
      <c r="H16" s="4">
        <f t="shared" si="0"/>
        <v>3000</v>
      </c>
      <c r="I16" s="4">
        <f t="shared" si="1"/>
        <v>300</v>
      </c>
      <c r="J16" s="4">
        <f t="shared" si="2"/>
        <v>2700</v>
      </c>
      <c r="K16" s="4">
        <f t="shared" si="3"/>
        <v>324</v>
      </c>
      <c r="L16" s="4">
        <f t="shared" si="4"/>
        <v>3024</v>
      </c>
    </row>
    <row r="17" spans="11:12" ht="15.75" customHeight="1" thickBot="1" x14ac:dyDescent="0.3"/>
    <row r="18" spans="11:12" ht="18.75" customHeight="1" x14ac:dyDescent="0.3">
      <c r="K18" s="7" t="s">
        <v>89</v>
      </c>
      <c r="L18" s="8"/>
    </row>
    <row r="19" spans="11:12" x14ac:dyDescent="0.25">
      <c r="K19" s="9" t="s">
        <v>90</v>
      </c>
      <c r="L19" s="10">
        <f>SUM(L2:L16)</f>
        <v>164569.54</v>
      </c>
    </row>
    <row r="20" spans="11:12" x14ac:dyDescent="0.25">
      <c r="K20" s="9" t="s">
        <v>91</v>
      </c>
      <c r="L20" s="10">
        <f>AVERAGE(L2:L16)</f>
        <v>10971.302666666666</v>
      </c>
    </row>
    <row r="21" spans="11:12" x14ac:dyDescent="0.25">
      <c r="K21" s="9" t="s">
        <v>92</v>
      </c>
      <c r="L21" s="10">
        <f>COUNT(L2:L16)</f>
        <v>15</v>
      </c>
    </row>
    <row r="22" spans="11:12" x14ac:dyDescent="0.25">
      <c r="K22" s="9" t="s">
        <v>93</v>
      </c>
      <c r="L22" s="11">
        <f>SUM(I2:I16)</f>
        <v>11649.5</v>
      </c>
    </row>
    <row r="23" spans="11:12" x14ac:dyDescent="0.25">
      <c r="K23" s="9" t="s">
        <v>94</v>
      </c>
      <c r="L23" s="11">
        <f>SUM(J2:J16)</f>
        <v>144700.5</v>
      </c>
    </row>
    <row r="24" spans="11:12" ht="15.75" customHeight="1" thickBot="1" x14ac:dyDescent="0.3">
      <c r="K24" s="12" t="s">
        <v>95</v>
      </c>
      <c r="L24" s="13">
        <f>SUM(K2:K16)</f>
        <v>19869.04</v>
      </c>
    </row>
  </sheetData>
  <sheetProtection sheet="1" formatCells="0"/>
  <dataValidations count="5">
    <dataValidation type="list" allowBlank="1" showInputMessage="1" showErrorMessage="1" sqref="B2:B16">
      <formula1>ProductCodes</formula1>
    </dataValidation>
    <dataValidation type="whole" operator="greaterThan" allowBlank="1" showInputMessage="1" showErrorMessage="1" sqref="D2:D16">
      <formula1>0</formula1>
    </dataValidation>
    <dataValidation type="decimal" operator="greaterThanOrEqual" allowBlank="1" showInputMessage="1" showErrorMessage="1" sqref="E2:E16">
      <formula1>0</formula1>
    </dataValidation>
    <dataValidation type="decimal" allowBlank="1" showInputMessage="1" showErrorMessage="1" sqref="F2:F16">
      <formula1>0</formula1>
      <formula2>1</formula2>
    </dataValidation>
    <dataValidation type="list" showErrorMessage="1" errorTitle="Invalid tax code" error="Pick a tax code from the Lists sheet." sqref="G2:G16">
      <formula1>TaxCodes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6" sqref="A6"/>
    </sheetView>
  </sheetViews>
  <sheetFormatPr defaultRowHeight="15" x14ac:dyDescent="0.25"/>
  <cols>
    <col min="1" max="2" width="15.7109375" style="2" customWidth="1"/>
  </cols>
  <sheetData>
    <row r="1" spans="1:4" x14ac:dyDescent="0.25">
      <c r="A1" t="s">
        <v>96</v>
      </c>
      <c r="B1" t="s">
        <v>97</v>
      </c>
      <c r="D1" s="5" t="s">
        <v>98</v>
      </c>
    </row>
    <row r="2" spans="1:4" x14ac:dyDescent="0.25">
      <c r="A2" t="s">
        <v>64</v>
      </c>
      <c r="B2" s="6">
        <v>0.05</v>
      </c>
      <c r="D2" t="s">
        <v>56</v>
      </c>
    </row>
    <row r="3" spans="1:4" x14ac:dyDescent="0.25">
      <c r="A3" t="s">
        <v>58</v>
      </c>
      <c r="B3" s="6">
        <v>0.12</v>
      </c>
      <c r="D3" t="s">
        <v>59</v>
      </c>
    </row>
    <row r="4" spans="1:4" x14ac:dyDescent="0.25">
      <c r="A4" t="s">
        <v>61</v>
      </c>
      <c r="B4" s="6">
        <v>0.18</v>
      </c>
      <c r="D4" t="s">
        <v>62</v>
      </c>
    </row>
    <row r="5" spans="1:4" x14ac:dyDescent="0.25">
      <c r="D5" t="s">
        <v>65</v>
      </c>
    </row>
    <row r="6" spans="1:4" x14ac:dyDescent="0.25">
      <c r="D6" t="s">
        <v>67</v>
      </c>
    </row>
    <row r="7" spans="1:4" x14ac:dyDescent="0.25">
      <c r="D7" t="s">
        <v>69</v>
      </c>
    </row>
    <row r="8" spans="1:4" x14ac:dyDescent="0.25">
      <c r="D8" t="s">
        <v>71</v>
      </c>
    </row>
    <row r="9" spans="1:4" x14ac:dyDescent="0.25">
      <c r="D9" t="s">
        <v>73</v>
      </c>
    </row>
    <row r="10" spans="1:4" x14ac:dyDescent="0.25">
      <c r="D10" t="s">
        <v>75</v>
      </c>
    </row>
    <row r="11" spans="1:4" x14ac:dyDescent="0.25">
      <c r="D11" t="s">
        <v>99</v>
      </c>
    </row>
    <row r="12" spans="1:4" x14ac:dyDescent="0.25">
      <c r="D12" t="s">
        <v>100</v>
      </c>
    </row>
    <row r="13" spans="1:4" x14ac:dyDescent="0.25">
      <c r="D13" t="s">
        <v>101</v>
      </c>
    </row>
    <row r="14" spans="1:4" x14ac:dyDescent="0.25">
      <c r="D14" t="s">
        <v>102</v>
      </c>
    </row>
    <row r="15" spans="1:4" x14ac:dyDescent="0.25">
      <c r="D15" t="s">
        <v>103</v>
      </c>
    </row>
    <row r="16" spans="1:4" x14ac:dyDescent="0.25">
      <c r="D16" t="s">
        <v>104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README</vt:lpstr>
      <vt:lpstr>Invoice</vt:lpstr>
      <vt:lpstr>Lists</vt:lpstr>
      <vt:lpstr>ProductCodes</vt:lpstr>
      <vt:lpstr>TaxCodes</vt:lpstr>
      <vt:lpstr>TaxTable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guestt</dc:creator>
  <cp:lastModifiedBy>guestt</cp:lastModifiedBy>
  <dcterms:created xsi:type="dcterms:W3CDTF">2006-09-16T00:00:00Z</dcterms:created>
  <dcterms:modified xsi:type="dcterms:W3CDTF">2026-10-03T19:47:42Z</dcterms:modified>
</cp:coreProperties>
</file>